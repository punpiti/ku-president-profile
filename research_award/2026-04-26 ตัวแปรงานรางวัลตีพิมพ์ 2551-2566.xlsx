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งานต่างๆ Fern\งานเฟิน\ปี 2569\งาน\"/>
    </mc:Choice>
  </mc:AlternateContent>
  <bookViews>
    <workbookView xWindow="0" yWindow="0" windowWidth="10770" windowHeight="2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E7" i="1"/>
  <c r="F8" i="1"/>
  <c r="F7" i="1"/>
  <c r="N8" i="1"/>
  <c r="O8" i="1"/>
  <c r="R8" i="1"/>
  <c r="S7" i="1" l="1"/>
  <c r="S8" i="1"/>
  <c r="R7" i="1"/>
  <c r="Q7" i="1"/>
  <c r="Q8" i="1"/>
  <c r="P7" i="1"/>
  <c r="P8" i="1"/>
  <c r="O7" i="1"/>
  <c r="N7" i="1"/>
  <c r="M7" i="1"/>
  <c r="M8" i="1"/>
  <c r="L7" i="1"/>
  <c r="L8" i="1"/>
  <c r="K7" i="1"/>
  <c r="K8" i="1"/>
  <c r="J8" i="1"/>
  <c r="J7" i="1"/>
  <c r="I8" i="1"/>
  <c r="I7" i="1"/>
  <c r="H8" i="1"/>
  <c r="G8" i="1"/>
  <c r="G5" i="1"/>
  <c r="F10" i="1"/>
  <c r="F5" i="1"/>
  <c r="E8" i="1"/>
  <c r="E5" i="1"/>
  <c r="D8" i="1"/>
  <c r="E10" i="1"/>
  <c r="D5" i="1"/>
  <c r="D10" i="1"/>
</calcChain>
</file>

<file path=xl/sharedStrings.xml><?xml version="1.0" encoding="utf-8"?>
<sst xmlns="http://schemas.openxmlformats.org/spreadsheetml/2006/main" count="15" uniqueCount="15">
  <si>
    <t>x</t>
  </si>
  <si>
    <t>y1</t>
  </si>
  <si>
    <t>y2</t>
  </si>
  <si>
    <t>y3</t>
  </si>
  <si>
    <t>y4</t>
  </si>
  <si>
    <t>y5</t>
  </si>
  <si>
    <t>จำนวนนักวิจัยที่ได้รับรางวัล (คน)</t>
  </si>
  <si>
    <t>จำนวนบทความทั้งหมด Scopus (บทความ)</t>
  </si>
  <si>
    <t>จำนวนบทความที่ให้รางวัล (บทความ)</t>
  </si>
  <si>
    <t>ทุนวิจัยรวม มก. (บาท)</t>
  </si>
  <si>
    <t>ปี (พ.ศ.)</t>
  </si>
  <si>
    <t>เงินรางวัลตีพิมพ์ในแต่ละปี : เงินรางวัลอาจารย์นักวิจัย (บาท)</t>
  </si>
  <si>
    <t>เงินรางวัลตีพิมพ์ในแต่ละปี : เงินรางวัลอาจารย์นักวิจัย+ส่วนงาน (บาท)</t>
  </si>
  <si>
    <t>เงินรางวัลตีพิมพ์ในแต่ละปี : เงินรางวัลอาจารย์นักวิจัย+ส่วนงาน+เงินดำเนินงาน (บาท)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</si>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</sst>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43" fontId="2" fillId="0" borderId="0" xfId="1" applyNumberFormat="1" applyFont="1" applyFill="1"/>
    <xf numFmtId="0" fontId="2" fillId="0" borderId="0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S18"/>
  <sheetViews>
    <sheetView tabSelected="1" topLeftCell="C1" zoomScale="85" zoomScaleNormal="85" workbookViewId="0">
      <pane xSplit="1" topLeftCell="D1" activePane="topRight" state="frozen"/>
      <selection activeCell="C1" sqref="C1"/>
      <selection pane="topRight" activeCell="I16" sqref="I16"/>
    </sheetView>
  </sheetViews>
  <sheetFormatPr defaultColWidth="18.5703125" defaultRowHeight="24" x14ac:dyDescent="0.55000000000000004"/>
  <cols>
    <col min="1" max="1" width="0" style="3" hidden="1" customWidth="1"/>
    <col min="2" max="2" width="12.42578125" style="3" hidden="1" customWidth="1"/>
    <col min="3" max="3" width="71.85546875" style="3" bestFit="1" customWidth="1"/>
    <col min="4" max="4" width="16.28515625" style="3" customWidth="1"/>
    <col min="5" max="5" width="19.140625" style="3" customWidth="1"/>
    <col min="6" max="6" width="18.5703125" style="3" customWidth="1"/>
    <col min="7" max="7" width="19.28515625" style="3" customWidth="1"/>
    <col min="8" max="8" width="19" style="3" customWidth="1"/>
    <col min="9" max="9" width="20.85546875" style="3" customWidth="1"/>
    <col min="10" max="10" width="21.5703125" style="3" customWidth="1"/>
    <col min="11" max="19" width="18.5703125" style="3" customWidth="1"/>
    <col min="20" max="16384" width="18.5703125" style="3"/>
  </cols>
  <sheetData>
    <row r="4" spans="2:19" x14ac:dyDescent="0.55000000000000004">
      <c r="B4" s="1" t="s">
        <v>0</v>
      </c>
      <c r="C4" s="2" t="s">
        <v>10</v>
      </c>
      <c r="D4" s="9">
        <v>2551</v>
      </c>
      <c r="E4" s="9">
        <v>2552</v>
      </c>
      <c r="F4" s="9">
        <v>2553</v>
      </c>
      <c r="G4" s="9">
        <v>2554</v>
      </c>
      <c r="H4" s="9">
        <v>2555</v>
      </c>
      <c r="I4" s="9">
        <v>2556</v>
      </c>
      <c r="J4" s="9">
        <v>2557</v>
      </c>
      <c r="K4" s="9">
        <v>2558</v>
      </c>
      <c r="L4" s="9">
        <v>2559</v>
      </c>
      <c r="M4" s="9">
        <v>2560</v>
      </c>
      <c r="N4" s="9">
        <v>2561</v>
      </c>
      <c r="O4" s="9">
        <v>2562</v>
      </c>
      <c r="P4" s="9">
        <v>2563</v>
      </c>
      <c r="Q4" s="9">
        <v>2564</v>
      </c>
      <c r="R4" s="9">
        <v>2565</v>
      </c>
      <c r="S4" s="9">
        <v>2566</v>
      </c>
    </row>
    <row r="5" spans="2:19" x14ac:dyDescent="0.55000000000000004">
      <c r="B5" s="4" t="s">
        <v>1</v>
      </c>
      <c r="C5" s="5" t="s">
        <v>8</v>
      </c>
      <c r="D5" s="10">
        <f>123+45</f>
        <v>168</v>
      </c>
      <c r="E5" s="10">
        <f>135+92</f>
        <v>227</v>
      </c>
      <c r="F5" s="11">
        <f>217+112</f>
        <v>329</v>
      </c>
      <c r="G5" s="11">
        <f>350</f>
        <v>350</v>
      </c>
      <c r="H5" s="11">
        <v>406</v>
      </c>
      <c r="I5" s="11">
        <v>408</v>
      </c>
      <c r="J5" s="11">
        <v>440</v>
      </c>
      <c r="K5" s="11">
        <v>456</v>
      </c>
      <c r="L5" s="11">
        <v>431</v>
      </c>
      <c r="M5" s="11">
        <v>525</v>
      </c>
      <c r="N5" s="11">
        <v>587</v>
      </c>
      <c r="O5" s="11">
        <v>669</v>
      </c>
      <c r="P5" s="11">
        <v>803</v>
      </c>
      <c r="Q5" s="11">
        <v>921</v>
      </c>
      <c r="R5" s="11">
        <v>1059</v>
      </c>
      <c r="S5" s="11">
        <v>1009</v>
      </c>
    </row>
    <row r="6" spans="2:19" x14ac:dyDescent="0.55000000000000004">
      <c r="B6" s="4" t="s">
        <v>2</v>
      </c>
      <c r="C6" s="5" t="s">
        <v>7</v>
      </c>
      <c r="D6" s="10">
        <v>492</v>
      </c>
      <c r="E6" s="10">
        <v>563</v>
      </c>
      <c r="F6" s="11">
        <v>696</v>
      </c>
      <c r="G6" s="11">
        <v>813</v>
      </c>
      <c r="H6" s="11">
        <v>779</v>
      </c>
      <c r="I6" s="11">
        <v>834</v>
      </c>
      <c r="J6" s="11">
        <v>896</v>
      </c>
      <c r="K6" s="11">
        <v>937</v>
      </c>
      <c r="L6" s="11">
        <v>1005</v>
      </c>
      <c r="M6" s="11">
        <v>1155</v>
      </c>
      <c r="N6" s="11">
        <v>1253</v>
      </c>
      <c r="O6" s="11">
        <v>1429</v>
      </c>
      <c r="P6" s="11">
        <v>1514</v>
      </c>
      <c r="Q6" s="11">
        <v>1678</v>
      </c>
      <c r="R6" s="11">
        <v>1931</v>
      </c>
      <c r="S6" s="11">
        <v>1828</v>
      </c>
    </row>
    <row r="7" spans="2:19" x14ac:dyDescent="0.55000000000000004">
      <c r="B7" s="4" t="s">
        <v>3</v>
      </c>
      <c r="C7" s="5" t="s">
        <v>11</v>
      </c>
      <c r="D7" s="10">
        <f>2400000+84000</f>
        <v>2484000</v>
      </c>
      <c r="E7" s="10">
        <f>3210000+209000</f>
        <v>3419000</v>
      </c>
      <c r="F7" s="11">
        <f>5910000+277000</f>
        <v>6187000</v>
      </c>
      <c r="G7" s="11">
        <v>5309000</v>
      </c>
      <c r="H7" s="11">
        <v>7568800</v>
      </c>
      <c r="I7" s="11">
        <f>9038000</f>
        <v>9038000</v>
      </c>
      <c r="J7" s="11">
        <f>9358000</f>
        <v>9358000</v>
      </c>
      <c r="K7" s="11">
        <f>10789500</f>
        <v>10789500</v>
      </c>
      <c r="L7" s="11">
        <f>11041500</f>
        <v>11041500</v>
      </c>
      <c r="M7" s="11">
        <f>13380500</f>
        <v>13380500</v>
      </c>
      <c r="N7" s="11">
        <f>14844500</f>
        <v>14844500</v>
      </c>
      <c r="O7" s="11">
        <f>17335500</f>
        <v>17335500</v>
      </c>
      <c r="P7" s="11">
        <f>15288500</f>
        <v>15288500</v>
      </c>
      <c r="Q7" s="11">
        <f>16712500</f>
        <v>16712500</v>
      </c>
      <c r="R7" s="11">
        <f>18871500</f>
        <v>18871500</v>
      </c>
      <c r="S7" s="11">
        <f>20879500</f>
        <v>20879500</v>
      </c>
    </row>
    <row r="8" spans="2:19" x14ac:dyDescent="0.55000000000000004">
      <c r="B8" s="4"/>
      <c r="C8" s="5" t="s">
        <v>12</v>
      </c>
      <c r="D8" s="10">
        <f>2400000+360000+84000+12600</f>
        <v>2856600</v>
      </c>
      <c r="E8" s="10">
        <f>3210000+481500+209000+31350</f>
        <v>3931850</v>
      </c>
      <c r="F8" s="11">
        <f>5910000+886500+277000+41550</f>
        <v>7115050</v>
      </c>
      <c r="G8" s="11">
        <f>5309000+796350</f>
        <v>6105350</v>
      </c>
      <c r="H8" s="11">
        <f>7568800+1135320</f>
        <v>8704120</v>
      </c>
      <c r="I8" s="11">
        <f>9038000+1991925</f>
        <v>11029925</v>
      </c>
      <c r="J8" s="11">
        <f>9358000+1403700</f>
        <v>10761700</v>
      </c>
      <c r="K8" s="11">
        <f>10789500+1618425</f>
        <v>12407925</v>
      </c>
      <c r="L8" s="11">
        <f>11041500+1656225</f>
        <v>12697725</v>
      </c>
      <c r="M8" s="11">
        <f>13380500+2007075</f>
        <v>15387575</v>
      </c>
      <c r="N8" s="11">
        <f>14844500+2226675</f>
        <v>17071175</v>
      </c>
      <c r="O8" s="11">
        <f>17335500+2600325</f>
        <v>19935825</v>
      </c>
      <c r="P8" s="11">
        <f>15288500+2293275</f>
        <v>17581775</v>
      </c>
      <c r="Q8" s="11">
        <f>16712500+2506875</f>
        <v>19219375</v>
      </c>
      <c r="R8" s="11">
        <f>18871500+2830725</f>
        <v>21702225</v>
      </c>
      <c r="S8" s="11">
        <f>20879500+3131925</f>
        <v>24011425</v>
      </c>
    </row>
    <row r="9" spans="2:19" x14ac:dyDescent="0.55000000000000004">
      <c r="B9" s="4"/>
      <c r="C9" s="5" t="s">
        <v>13</v>
      </c>
      <c r="D9" s="8">
        <v>2999816.94</v>
      </c>
      <c r="E9" s="8">
        <v>4204806.5</v>
      </c>
      <c r="F9" s="8">
        <v>7371551</v>
      </c>
      <c r="G9" s="8">
        <v>6902849</v>
      </c>
      <c r="H9" s="8">
        <v>9591008.3300000001</v>
      </c>
      <c r="I9" s="8">
        <v>10914504</v>
      </c>
      <c r="J9" s="8">
        <v>11322493</v>
      </c>
      <c r="K9" s="8">
        <v>13018527.609999999</v>
      </c>
      <c r="L9" s="8">
        <v>13654096.9</v>
      </c>
      <c r="M9" s="8">
        <v>16066321.779999999</v>
      </c>
      <c r="N9" s="8">
        <v>18538648.600000001</v>
      </c>
      <c r="O9" s="8">
        <v>20461832.41</v>
      </c>
      <c r="P9" s="8">
        <v>18498711.870000001</v>
      </c>
      <c r="Q9" s="8">
        <v>20268332.329999998</v>
      </c>
      <c r="R9" s="8">
        <v>22933908.309999999</v>
      </c>
      <c r="S9" s="8">
        <v>25429175</v>
      </c>
    </row>
    <row r="10" spans="2:19" x14ac:dyDescent="0.55000000000000004">
      <c r="B10" s="4" t="s">
        <v>4</v>
      </c>
      <c r="C10" s="5" t="s">
        <v>6</v>
      </c>
      <c r="D10" s="10">
        <f>73+27</f>
        <v>100</v>
      </c>
      <c r="E10" s="10">
        <f>76+56</f>
        <v>132</v>
      </c>
      <c r="F10" s="11">
        <f>128+74</f>
        <v>202</v>
      </c>
      <c r="G10" s="11">
        <v>186</v>
      </c>
      <c r="H10" s="11">
        <v>251</v>
      </c>
      <c r="I10" s="11">
        <v>251</v>
      </c>
      <c r="J10" s="11">
        <v>252</v>
      </c>
      <c r="K10" s="11">
        <v>271</v>
      </c>
      <c r="L10" s="11">
        <v>254</v>
      </c>
      <c r="M10" s="11">
        <v>316</v>
      </c>
      <c r="N10" s="11">
        <v>334</v>
      </c>
      <c r="O10" s="11">
        <v>381</v>
      </c>
      <c r="P10" s="11">
        <v>425</v>
      </c>
      <c r="Q10" s="11">
        <v>481</v>
      </c>
      <c r="R10" s="11">
        <v>513</v>
      </c>
      <c r="S10" s="11">
        <v>514</v>
      </c>
    </row>
    <row r="11" spans="2:19" x14ac:dyDescent="0.55000000000000004">
      <c r="B11" s="6" t="s">
        <v>5</v>
      </c>
      <c r="C11" s="7" t="s">
        <v>9</v>
      </c>
      <c r="D11" s="10">
        <v>919260031</v>
      </c>
      <c r="E11" s="10">
        <v>1403022959</v>
      </c>
      <c r="F11" s="11">
        <v>1253422835</v>
      </c>
      <c r="G11" s="11">
        <v>1573937766</v>
      </c>
      <c r="H11" s="11">
        <v>1763569515</v>
      </c>
      <c r="I11" s="11">
        <v>1828137251</v>
      </c>
      <c r="J11" s="11">
        <v>1956180644</v>
      </c>
      <c r="K11" s="11">
        <v>2015800074</v>
      </c>
      <c r="L11" s="11">
        <v>2119748835</v>
      </c>
      <c r="M11" s="11">
        <v>2346894588</v>
      </c>
      <c r="N11" s="11">
        <v>1405511153</v>
      </c>
      <c r="O11" s="11">
        <v>1595745313.3599999</v>
      </c>
      <c r="P11" s="11">
        <v>1382268061.75</v>
      </c>
      <c r="Q11" s="11">
        <v>1513699737.0699999</v>
      </c>
      <c r="R11" s="11">
        <v>1052349429.01</v>
      </c>
      <c r="S11" s="11">
        <v>1082730901.0899999</v>
      </c>
    </row>
    <row r="18" spans="15:15" x14ac:dyDescent="0.55000000000000004">
      <c r="O18" s="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KURDI640826.P5</dc:creator>
  <cp:lastModifiedBy>KURDI640826.P5</cp:lastModifiedBy>
  <dcterms:created xsi:type="dcterms:W3CDTF">2026-04-20T02:34:39Z</dcterms:created>
  <dcterms:modified xsi:type="dcterms:W3CDTF">2026-04-20T06:26:47Z</dcterms:modified>
</cp:coreProperties>
</file>